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eha\OneDrive\Documents\"/>
    </mc:Choice>
  </mc:AlternateContent>
  <xr:revisionPtr revIDLastSave="0" documentId="13_ncr:1_{1E9443B9-4E6B-4BFD-A9E4-3C97F27DF449}" xr6:coauthVersionLast="47" xr6:coauthVersionMax="47" xr10:uidLastSave="{00000000-0000-0000-0000-000000000000}"/>
  <bookViews>
    <workbookView xWindow="-110" yWindow="-110" windowWidth="19420" windowHeight="10300" activeTab="3" xr2:uid="{403DC954-6067-4FE7-8DF3-B673472BD492}"/>
  </bookViews>
  <sheets>
    <sheet name="Sheet1" sheetId="1" r:id="rId1"/>
    <sheet name="Sheet2" sheetId="2" r:id="rId2"/>
    <sheet name="Sheet3" sheetId="3" r:id="rId3"/>
    <sheet name="Sheet4" sheetId="4" r:id="rId4"/>
    <sheet name="Sheet7" sheetId="7" r:id="rId5"/>
    <sheet name="Sheet5" sheetId="5" r:id="rId6"/>
    <sheet name="Sheet6" sheetId="6" r:id="rId7"/>
    <sheet name="Sheet9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0" i="4" l="1"/>
  <c r="L18" i="4"/>
  <c r="I15" i="4"/>
  <c r="J16" i="4" s="1"/>
  <c r="L22" i="4" s="1"/>
  <c r="H14" i="4"/>
  <c r="F12" i="4"/>
  <c r="G13" i="4"/>
  <c r="L19" i="4" s="1"/>
  <c r="K17" i="4" l="1"/>
  <c r="L23" i="4" s="1"/>
  <c r="L21" i="4"/>
</calcChain>
</file>

<file path=xl/sharedStrings.xml><?xml version="1.0" encoding="utf-8"?>
<sst xmlns="http://schemas.openxmlformats.org/spreadsheetml/2006/main" count="196" uniqueCount="137">
  <si>
    <t>Start</t>
  </si>
  <si>
    <t xml:space="preserve">    // Constant</t>
  </si>
  <si>
    <t xml:space="preserve">    pi &lt;- 3.14 (double)</t>
  </si>
  <si>
    <t xml:space="preserve">    // Variable Declarations</t>
  </si>
  <si>
    <t xml:space="preserve">    radius &lt;- 0 (double)</t>
  </si>
  <si>
    <t xml:space="preserve">    side &lt;- 0 (double)</t>
  </si>
  <si>
    <t xml:space="preserve">    circumferenceCircle &lt;- 0 (double)</t>
  </si>
  <si>
    <t xml:space="preserve">    perimeterSquare &lt;- 0 (double)</t>
  </si>
  <si>
    <t xml:space="preserve">    areaCircle &lt;- 0 (double)</t>
  </si>
  <si>
    <t xml:space="preserve">    areaSquare &lt;- 0 (double)</t>
  </si>
  <si>
    <t xml:space="preserve">    diffArea &lt;- 0 (double)</t>
  </si>
  <si>
    <t xml:space="preserve">    diffPerimeter &lt;- 0 (double)</t>
  </si>
  <si>
    <t xml:space="preserve">    // Input</t>
  </si>
  <si>
    <t xml:space="preserve">    Accept radius</t>
  </si>
  <si>
    <t xml:space="preserve">    Accept side</t>
  </si>
  <si>
    <t xml:space="preserve">    // Circle calculations</t>
  </si>
  <si>
    <t xml:space="preserve">    circumferenceCircle &lt;- 2 * pi * radius</t>
  </si>
  <si>
    <t xml:space="preserve">    areaCircle &lt;- pi * radius * radius</t>
  </si>
  <si>
    <t xml:space="preserve">    // Square calculations</t>
  </si>
  <si>
    <t xml:space="preserve">    perimeterSquare &lt;- 4 * side</t>
  </si>
  <si>
    <t xml:space="preserve">    areaSquare &lt;- side * side</t>
  </si>
  <si>
    <t xml:space="preserve">    // Difference calculations</t>
  </si>
  <si>
    <t xml:space="preserve">    diffArea &lt;- areaCircle - areaSquare</t>
  </si>
  <si>
    <t xml:space="preserve">    diffPerimeter &lt;- circumferenceCircle - perimeterSquare</t>
  </si>
  <si>
    <t xml:space="preserve">    // Output</t>
  </si>
  <si>
    <t xml:space="preserve">    Display circumferenceCircle</t>
  </si>
  <si>
    <t xml:space="preserve">    Display perimeterSquare</t>
  </si>
  <si>
    <t xml:space="preserve">    Display areaCircle</t>
  </si>
  <si>
    <t xml:space="preserve">    Display areaSquare</t>
  </si>
  <si>
    <t xml:space="preserve">    Display diffArea</t>
  </si>
  <si>
    <t xml:space="preserve">    Display diffPerimeter</t>
  </si>
  <si>
    <t>Stop</t>
  </si>
  <si>
    <t>Steps</t>
  </si>
  <si>
    <t xml:space="preserve"> </t>
  </si>
  <si>
    <t xml:space="preserve">    circleCircumference &lt;- 0 (double)</t>
  </si>
  <si>
    <t xml:space="preserve">    squarePerimeter &lt;- 0 (double)</t>
  </si>
  <si>
    <t xml:space="preserve">    circleArea &lt;- 0 (double)</t>
  </si>
  <si>
    <t xml:space="preserve">    squareArea &lt;- 0 (double)</t>
  </si>
  <si>
    <t xml:space="preserve">    areaDifference &lt;- 0 (double)</t>
  </si>
  <si>
    <t xml:space="preserve">    perimeterDifference &lt;- 0 (double)</t>
  </si>
  <si>
    <t xml:space="preserve">    circleCircumference &lt;- 2 * 3.14 * radius</t>
  </si>
  <si>
    <t xml:space="preserve">    squarePerimeter &lt;- 4 * side</t>
  </si>
  <si>
    <t xml:space="preserve">    circleArea &lt;- 3.14 * radius * radius</t>
  </si>
  <si>
    <t xml:space="preserve">    squareArea &lt;- side * side</t>
  </si>
  <si>
    <t xml:space="preserve">    areaDifference &lt;- circleArea - squareArea</t>
  </si>
  <si>
    <t xml:space="preserve">    perimeterDifference &lt;- circleCircumference - squarePerimeter</t>
  </si>
  <si>
    <t xml:space="preserve">    Display circleCircumference</t>
  </si>
  <si>
    <t xml:space="preserve">    Display squarePerimeter</t>
  </si>
  <si>
    <t xml:space="preserve">    Display circleArea</t>
  </si>
  <si>
    <t xml:space="preserve">    Display squareArea</t>
  </si>
  <si>
    <t xml:space="preserve">    Display areaDifference</t>
  </si>
  <si>
    <t xml:space="preserve">    Display perimeterDifference</t>
  </si>
  <si>
    <t>radius</t>
  </si>
  <si>
    <t>side</t>
  </si>
  <si>
    <t>Circlecircumference</t>
  </si>
  <si>
    <t>sq perimeter</t>
  </si>
  <si>
    <t>Circle area</t>
  </si>
  <si>
    <t>sq area</t>
  </si>
  <si>
    <t>area diff</t>
  </si>
  <si>
    <t>perimeter diff</t>
  </si>
  <si>
    <t>I/O</t>
  </si>
  <si>
    <t xml:space="preserve">  SET total_land = 80</t>
  </si>
  <si>
    <t xml:space="preserve">  SET segments = 5</t>
  </si>
  <si>
    <t xml:space="preserve">  SET land_per_crop = total_land / segments   // 16 acres each</t>
  </si>
  <si>
    <t xml:space="preserve">  // TOMATOES</t>
  </si>
  <si>
    <t xml:space="preserve">  SET tomato_land = land_per_crop</t>
  </si>
  <si>
    <t xml:space="preserve">  SET tomato_yield_low = 0.30 * tomato_land * 10      // tonnes</t>
  </si>
  <si>
    <t xml:space="preserve">  SET tomato_yield_high = 0.70 * tomato_land * 12     // tonnes</t>
  </si>
  <si>
    <t xml:space="preserve">  SET tomato_total_yield_kg = (tomato_yield_low + tomato_yield_high) * 1000</t>
  </si>
  <si>
    <t xml:space="preserve">  SET tomato_revenue = tomato_total_yield_kg * 7</t>
  </si>
  <si>
    <t xml:space="preserve">  // POTATOES</t>
  </si>
  <si>
    <t xml:space="preserve">  SET potato_land = land_per_crop</t>
  </si>
  <si>
    <t xml:space="preserve">  SET potato_yield_kg = potato_land * 10 * 1000</t>
  </si>
  <si>
    <t xml:space="preserve">  SET potato_revenue = potato_yield_kg * 20</t>
  </si>
  <si>
    <t xml:space="preserve">  // CABBAGE</t>
  </si>
  <si>
    <t xml:space="preserve">  SET cabbage_land = land_per_crop</t>
  </si>
  <si>
    <t xml:space="preserve">  SET cabbage_yield_kg = cabbage_land * 14 * 1000</t>
  </si>
  <si>
    <t xml:space="preserve">  SET cabbage_revenue = cabbage_yield_kg * 24</t>
  </si>
  <si>
    <t xml:space="preserve">  // SUNFLOWER</t>
  </si>
  <si>
    <t xml:space="preserve">  SET sunflower_land = land_per_crop</t>
  </si>
  <si>
    <t xml:space="preserve">  SET sunflower_yield_kg = sunflower_land * 0.7 * 1000</t>
  </si>
  <si>
    <t xml:space="preserve">  SET sunflower_revenue = sunflower_yield_kg * 200</t>
  </si>
  <si>
    <t xml:space="preserve">  // SUGARCANE</t>
  </si>
  <si>
    <t xml:space="preserve">  SET sugarcane_land = land_per_crop</t>
  </si>
  <si>
    <t xml:space="preserve">  SET sugarcane_yield_tonnes = sugarcane_land * 45</t>
  </si>
  <si>
    <t xml:space="preserve">  SET sugarcane_revenue = sugarcane_yield_tonnes * 4000</t>
  </si>
  <si>
    <t xml:space="preserve">  // TOTAL SALES</t>
  </si>
  <si>
    <t xml:space="preserve">  SET total_sales =</t>
  </si>
  <si>
    <t xml:space="preserve">      tomato_revenue +</t>
  </si>
  <si>
    <t xml:space="preserve">      potato_revenue +</t>
  </si>
  <si>
    <t xml:space="preserve">      cabbage_revenue +</t>
  </si>
  <si>
    <t xml:space="preserve">      sunflower_revenue +</t>
  </si>
  <si>
    <t xml:space="preserve">      sugarcane_revenue</t>
  </si>
  <si>
    <t xml:space="preserve">  // CHEMICAL-FREE SALES (after 11 months)</t>
  </si>
  <si>
    <t xml:space="preserve">  // Vegetables + Sunflower only</t>
  </si>
  <si>
    <t xml:space="preserve">  SET chemical_free_sales =</t>
  </si>
  <si>
    <t xml:space="preserve">      sunflower_revenue</t>
  </si>
  <si>
    <t xml:space="preserve">  // OUTPUT</t>
  </si>
  <si>
    <t xml:space="preserve">  PRINT total_sales</t>
  </si>
  <si>
    <t xml:space="preserve">  PRINT chemical_free_sales</t>
  </si>
  <si>
    <t>END</t>
  </si>
  <si>
    <t>START</t>
  </si>
  <si>
    <t>//VARIABLE DECLARATION</t>
  </si>
  <si>
    <t>totalLand &lt;-- 0 (double)</t>
  </si>
  <si>
    <t>segments &lt;-- 0 (double)</t>
  </si>
  <si>
    <t>cropLand &lt;- 0 (double)</t>
  </si>
  <si>
    <t>tomatoPrice &lt;- 0 (double)</t>
  </si>
  <si>
    <t>potatoPrice &lt;- 0 (double)</t>
  </si>
  <si>
    <t>cabbagePrice &lt;- 0 (double)</t>
  </si>
  <si>
    <t>sunflowerPrice &lt;- 0 (double)</t>
  </si>
  <si>
    <t>sugarcanePrice &lt;- 0 (double)</t>
  </si>
  <si>
    <t>tomatoYield &lt;- 0 (double)</t>
  </si>
  <si>
    <t>potatoYield &lt;- 0 (double)</t>
  </si>
  <si>
    <t>cabbageYield &lt;- 0 (double)</t>
  </si>
  <si>
    <t>sunflowerYield &lt;- 0 (double)</t>
  </si>
  <si>
    <t>sugarcaneYield &lt;- 0 (double)</t>
  </si>
  <si>
    <t>totalSalesPerCycle &lt;- 0 (double)</t>
  </si>
  <si>
    <t>totalSaleschemicalFree&lt;- 0 (double)</t>
  </si>
  <si>
    <t>Accept totalLand</t>
  </si>
  <si>
    <t>//PROCESSING SECTION</t>
  </si>
  <si>
    <t>segments = 5</t>
  </si>
  <si>
    <t>cropLand = totalLand/segments</t>
  </si>
  <si>
    <t>tomatoPrice = 7</t>
  </si>
  <si>
    <t>potatoPrice = 20</t>
  </si>
  <si>
    <t>cabbagePrice = 24</t>
  </si>
  <si>
    <t>sunflowerPrice = 200</t>
  </si>
  <si>
    <t>sugarcanePrice = 4000/1000</t>
  </si>
  <si>
    <t>tomatoYield = ((cropLand * 0.3 * 10 ) + (cropland * 0.7 * 12)) * 1000</t>
  </si>
  <si>
    <t>potatoYield = (cropLand * 10 * 1000)</t>
  </si>
  <si>
    <t>cabbageYield = (cropLand * 14 * 1000)</t>
  </si>
  <si>
    <t>sunflowerYield = (cropLand * 0.7 * 1000)</t>
  </si>
  <si>
    <t>sugarcaneYield = (cropLand * 45 * 1000)</t>
  </si>
  <si>
    <t>totalSalesPerCycle = (tomatoPrice * tomatoYield) + (potatoPrice * potatoYield) + (cabbagePrice * cabbageYield) + (sunflowerPrice * sunflowerYield) + (sugarcanePrice * sugarcaneYield)</t>
  </si>
  <si>
    <t>totalSaleschemicalFree = (totalSalesPerCycle - (sugarcanePrice * sugarcaneYield))</t>
  </si>
  <si>
    <t>//OUTPUT SECTION</t>
  </si>
  <si>
    <t>Display totalSalesPerCycle</t>
  </si>
  <si>
    <t>Display totalSaleschemicalFree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</si>
</sst>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DB121-D752-4CF9-9E15-1687A97D8994}">
  <dimension ref="A6:D51"/>
  <sheetViews>
    <sheetView workbookViewId="0">
      <selection activeCell="D30" sqref="D30"/>
    </sheetView>
  </sheetViews>
  <sheetFormatPr defaultRowHeight="14.5" x14ac:dyDescent="0.35"/>
  <cols>
    <col min="1" max="1" width="14.453125" customWidth="1"/>
    <col min="2" max="2" width="15.1796875" customWidth="1"/>
    <col min="3" max="3" width="19.36328125" customWidth="1"/>
  </cols>
  <sheetData>
    <row r="6" spans="1:4" x14ac:dyDescent="0.35">
      <c r="A6" t="s">
        <v>0</v>
      </c>
      <c r="D6" t="s">
        <v>32</v>
      </c>
    </row>
    <row r="8" spans="1:4" x14ac:dyDescent="0.35">
      <c r="A8" t="s">
        <v>1</v>
      </c>
    </row>
    <row r="9" spans="1:4" x14ac:dyDescent="0.35">
      <c r="A9" t="s">
        <v>2</v>
      </c>
      <c r="D9">
        <v>1</v>
      </c>
    </row>
    <row r="11" spans="1:4" x14ac:dyDescent="0.35">
      <c r="A11" t="s">
        <v>3</v>
      </c>
    </row>
    <row r="12" spans="1:4" x14ac:dyDescent="0.35">
      <c r="A12" t="s">
        <v>4</v>
      </c>
      <c r="D12">
        <v>2</v>
      </c>
    </row>
    <row r="13" spans="1:4" x14ac:dyDescent="0.35">
      <c r="A13" t="s">
        <v>5</v>
      </c>
      <c r="D13">
        <v>3</v>
      </c>
    </row>
    <row r="15" spans="1:4" x14ac:dyDescent="0.35">
      <c r="A15" t="s">
        <v>6</v>
      </c>
      <c r="D15">
        <v>4</v>
      </c>
    </row>
    <row r="16" spans="1:4" x14ac:dyDescent="0.35">
      <c r="A16" t="s">
        <v>7</v>
      </c>
      <c r="D16">
        <v>5</v>
      </c>
    </row>
    <row r="18" spans="1:4" x14ac:dyDescent="0.35">
      <c r="A18" t="s">
        <v>8</v>
      </c>
      <c r="D18">
        <v>6</v>
      </c>
    </row>
    <row r="19" spans="1:4" x14ac:dyDescent="0.35">
      <c r="A19" t="s">
        <v>9</v>
      </c>
      <c r="D19">
        <v>7</v>
      </c>
    </row>
    <row r="21" spans="1:4" x14ac:dyDescent="0.35">
      <c r="A21" t="s">
        <v>10</v>
      </c>
      <c r="D21">
        <v>8</v>
      </c>
    </row>
    <row r="22" spans="1:4" x14ac:dyDescent="0.35">
      <c r="A22" t="s">
        <v>11</v>
      </c>
      <c r="D22">
        <v>9</v>
      </c>
    </row>
    <row r="24" spans="1:4" x14ac:dyDescent="0.35">
      <c r="A24" t="s">
        <v>12</v>
      </c>
    </row>
    <row r="25" spans="1:4" x14ac:dyDescent="0.35">
      <c r="A25" t="s">
        <v>13</v>
      </c>
      <c r="D25">
        <v>10</v>
      </c>
    </row>
    <row r="26" spans="1:4" x14ac:dyDescent="0.35">
      <c r="A26" t="s">
        <v>14</v>
      </c>
      <c r="D26">
        <v>11</v>
      </c>
    </row>
    <row r="29" spans="1:4" x14ac:dyDescent="0.35">
      <c r="A29" t="s">
        <v>15</v>
      </c>
    </row>
    <row r="30" spans="1:4" x14ac:dyDescent="0.35">
      <c r="A30" t="s">
        <v>16</v>
      </c>
      <c r="D30">
        <v>12</v>
      </c>
    </row>
    <row r="31" spans="1:4" x14ac:dyDescent="0.35">
      <c r="A31" t="s">
        <v>17</v>
      </c>
      <c r="D31">
        <v>13</v>
      </c>
    </row>
    <row r="33" spans="1:4" x14ac:dyDescent="0.35">
      <c r="A33" t="s">
        <v>18</v>
      </c>
    </row>
    <row r="34" spans="1:4" x14ac:dyDescent="0.35">
      <c r="A34" t="s">
        <v>19</v>
      </c>
      <c r="D34">
        <v>14</v>
      </c>
    </row>
    <row r="35" spans="1:4" x14ac:dyDescent="0.35">
      <c r="A35" t="s">
        <v>20</v>
      </c>
      <c r="D35">
        <v>15</v>
      </c>
    </row>
    <row r="37" spans="1:4" x14ac:dyDescent="0.35">
      <c r="A37" t="s">
        <v>21</v>
      </c>
    </row>
    <row r="38" spans="1:4" x14ac:dyDescent="0.35">
      <c r="A38" t="s">
        <v>22</v>
      </c>
      <c r="D38">
        <v>16</v>
      </c>
    </row>
    <row r="39" spans="1:4" x14ac:dyDescent="0.35">
      <c r="A39" t="s">
        <v>23</v>
      </c>
      <c r="D39">
        <v>17</v>
      </c>
    </row>
    <row r="41" spans="1:4" x14ac:dyDescent="0.35">
      <c r="A41" t="s">
        <v>24</v>
      </c>
    </row>
    <row r="42" spans="1:4" x14ac:dyDescent="0.35">
      <c r="A42" t="s">
        <v>25</v>
      </c>
      <c r="D42">
        <v>18</v>
      </c>
    </row>
    <row r="43" spans="1:4" x14ac:dyDescent="0.35">
      <c r="A43" t="s">
        <v>26</v>
      </c>
      <c r="D43">
        <v>19</v>
      </c>
    </row>
    <row r="45" spans="1:4" x14ac:dyDescent="0.35">
      <c r="A45" t="s">
        <v>27</v>
      </c>
      <c r="D45">
        <v>20</v>
      </c>
    </row>
    <row r="46" spans="1:4" x14ac:dyDescent="0.35">
      <c r="A46" t="s">
        <v>28</v>
      </c>
      <c r="D46">
        <v>21</v>
      </c>
    </row>
    <row r="48" spans="1:4" x14ac:dyDescent="0.35">
      <c r="A48" t="s">
        <v>29</v>
      </c>
      <c r="D48">
        <v>22</v>
      </c>
    </row>
    <row r="49" spans="1:4" x14ac:dyDescent="0.35">
      <c r="A49" t="s">
        <v>30</v>
      </c>
      <c r="D49">
        <v>23</v>
      </c>
    </row>
    <row r="51" spans="1:4" x14ac:dyDescent="0.35">
      <c r="A5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C62FF-A367-44EF-A720-445E84AC50C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2168E-128F-4E94-A5A0-B88593FCE2D7}">
  <dimension ref="A7:C51"/>
  <sheetViews>
    <sheetView topLeftCell="A17" workbookViewId="0">
      <selection activeCell="A12" sqref="A12"/>
    </sheetView>
  </sheetViews>
  <sheetFormatPr defaultRowHeight="14.5" x14ac:dyDescent="0.35"/>
  <cols>
    <col min="1" max="1" width="26.26953125" customWidth="1"/>
    <col min="2" max="2" width="32.453125" customWidth="1"/>
  </cols>
  <sheetData>
    <row r="7" spans="1:3" x14ac:dyDescent="0.35">
      <c r="A7" t="s">
        <v>0</v>
      </c>
      <c r="C7" t="s">
        <v>32</v>
      </c>
    </row>
    <row r="9" spans="1:3" x14ac:dyDescent="0.35">
      <c r="A9" t="s">
        <v>4</v>
      </c>
      <c r="C9">
        <v>1</v>
      </c>
    </row>
    <row r="10" spans="1:3" x14ac:dyDescent="0.35">
      <c r="A10" t="s">
        <v>5</v>
      </c>
    </row>
    <row r="11" spans="1:3" x14ac:dyDescent="0.35">
      <c r="A11" t="s">
        <v>34</v>
      </c>
    </row>
    <row r="13" spans="1:3" x14ac:dyDescent="0.35">
      <c r="A13" t="s">
        <v>35</v>
      </c>
    </row>
    <row r="14" spans="1:3" x14ac:dyDescent="0.35">
      <c r="A14" t="s">
        <v>33</v>
      </c>
    </row>
    <row r="15" spans="1:3" x14ac:dyDescent="0.35">
      <c r="A15" t="s">
        <v>36</v>
      </c>
    </row>
    <row r="17" spans="1:1" x14ac:dyDescent="0.35">
      <c r="A17" t="s">
        <v>37</v>
      </c>
    </row>
    <row r="18" spans="1:1" x14ac:dyDescent="0.35">
      <c r="A18" t="s">
        <v>33</v>
      </c>
    </row>
    <row r="19" spans="1:1" x14ac:dyDescent="0.35">
      <c r="A19" t="s">
        <v>38</v>
      </c>
    </row>
    <row r="21" spans="1:1" x14ac:dyDescent="0.35">
      <c r="A21" t="s">
        <v>39</v>
      </c>
    </row>
    <row r="22" spans="1:1" x14ac:dyDescent="0.35">
      <c r="A22" t="s">
        <v>33</v>
      </c>
    </row>
    <row r="23" spans="1:1" x14ac:dyDescent="0.35">
      <c r="A23" t="s">
        <v>13</v>
      </c>
    </row>
    <row r="25" spans="1:1" x14ac:dyDescent="0.35">
      <c r="A25" t="s">
        <v>14</v>
      </c>
    </row>
    <row r="26" spans="1:1" x14ac:dyDescent="0.35">
      <c r="A26" t="s">
        <v>33</v>
      </c>
    </row>
    <row r="27" spans="1:1" x14ac:dyDescent="0.35">
      <c r="A27" t="s">
        <v>40</v>
      </c>
    </row>
    <row r="29" spans="1:1" x14ac:dyDescent="0.35">
      <c r="A29" t="s">
        <v>41</v>
      </c>
    </row>
    <row r="30" spans="1:1" x14ac:dyDescent="0.35">
      <c r="A30" t="s">
        <v>33</v>
      </c>
    </row>
    <row r="31" spans="1:1" x14ac:dyDescent="0.35">
      <c r="A31" t="s">
        <v>42</v>
      </c>
    </row>
    <row r="33" spans="1:1" x14ac:dyDescent="0.35">
      <c r="A33" t="s">
        <v>43</v>
      </c>
    </row>
    <row r="34" spans="1:1" x14ac:dyDescent="0.35">
      <c r="A34" t="s">
        <v>33</v>
      </c>
    </row>
    <row r="35" spans="1:1" x14ac:dyDescent="0.35">
      <c r="A35" t="s">
        <v>44</v>
      </c>
    </row>
    <row r="37" spans="1:1" x14ac:dyDescent="0.35">
      <c r="A37" t="s">
        <v>45</v>
      </c>
    </row>
    <row r="38" spans="1:1" x14ac:dyDescent="0.35">
      <c r="A38" t="s">
        <v>33</v>
      </c>
    </row>
    <row r="39" spans="1:1" x14ac:dyDescent="0.35">
      <c r="A39" t="s">
        <v>46</v>
      </c>
    </row>
    <row r="41" spans="1:1" x14ac:dyDescent="0.35">
      <c r="A41" t="s">
        <v>47</v>
      </c>
    </row>
    <row r="42" spans="1:1" x14ac:dyDescent="0.35">
      <c r="A42" t="s">
        <v>33</v>
      </c>
    </row>
    <row r="43" spans="1:1" x14ac:dyDescent="0.35">
      <c r="A43" t="s">
        <v>48</v>
      </c>
    </row>
    <row r="45" spans="1:1" x14ac:dyDescent="0.35">
      <c r="A45" t="s">
        <v>49</v>
      </c>
    </row>
    <row r="46" spans="1:1" x14ac:dyDescent="0.35">
      <c r="A46" t="s">
        <v>33</v>
      </c>
    </row>
    <row r="47" spans="1:1" x14ac:dyDescent="0.35">
      <c r="A47" t="s">
        <v>50</v>
      </c>
    </row>
    <row r="49" spans="1:1" x14ac:dyDescent="0.35">
      <c r="A49" t="s">
        <v>51</v>
      </c>
    </row>
    <row r="51" spans="1:1" x14ac:dyDescent="0.35">
      <c r="A51" t="s">
        <v>31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9703A-90F6-4B7B-AF94-21AAE5B16F1C}">
  <dimension ref="A1:L24"/>
  <sheetViews>
    <sheetView tabSelected="1" workbookViewId="0">
      <selection activeCell="D10" sqref="D10"/>
    </sheetView>
  </sheetViews>
  <sheetFormatPr defaultRowHeight="14.5" x14ac:dyDescent="0.35"/>
  <cols>
    <col min="1" max="1" width="28.7265625" customWidth="1"/>
    <col min="2" max="2" width="25.7265625" customWidth="1"/>
    <col min="3" max="3" width="8.7265625" customWidth="1"/>
    <col min="6" max="6" width="17.6328125" customWidth="1"/>
    <col min="7" max="7" width="12.7265625" customWidth="1"/>
    <col min="8" max="8" width="12.26953125" customWidth="1"/>
    <col min="11" max="11" width="12.1796875" customWidth="1"/>
  </cols>
  <sheetData>
    <row r="1" spans="1:12" x14ac:dyDescent="0.35">
      <c r="A1" t="s">
        <v>0</v>
      </c>
      <c r="C1" s="1" t="s">
        <v>32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</row>
    <row r="2" spans="1:12" x14ac:dyDescent="0.35">
      <c r="A2" t="s">
        <v>4</v>
      </c>
      <c r="C2">
        <v>1</v>
      </c>
      <c r="D2">
        <v>0</v>
      </c>
    </row>
    <row r="3" spans="1:12" x14ac:dyDescent="0.35">
      <c r="A3" t="s">
        <v>5</v>
      </c>
      <c r="C3">
        <v>2</v>
      </c>
      <c r="E3">
        <v>0</v>
      </c>
    </row>
    <row r="4" spans="1:12" x14ac:dyDescent="0.35">
      <c r="A4" t="s">
        <v>34</v>
      </c>
      <c r="C4">
        <v>3</v>
      </c>
      <c r="F4">
        <v>0</v>
      </c>
    </row>
    <row r="5" spans="1:12" x14ac:dyDescent="0.35">
      <c r="A5" t="s">
        <v>35</v>
      </c>
      <c r="C5">
        <v>4</v>
      </c>
      <c r="G5">
        <v>0</v>
      </c>
    </row>
    <row r="6" spans="1:12" x14ac:dyDescent="0.35">
      <c r="A6" t="s">
        <v>36</v>
      </c>
      <c r="C6">
        <v>5</v>
      </c>
      <c r="H6">
        <v>0</v>
      </c>
    </row>
    <row r="7" spans="1:12" x14ac:dyDescent="0.35">
      <c r="A7" t="s">
        <v>37</v>
      </c>
      <c r="C7">
        <v>6</v>
      </c>
      <c r="I7">
        <v>0</v>
      </c>
    </row>
    <row r="8" spans="1:12" x14ac:dyDescent="0.35">
      <c r="A8" t="s">
        <v>38</v>
      </c>
      <c r="C8">
        <v>7</v>
      </c>
      <c r="J8">
        <v>0</v>
      </c>
    </row>
    <row r="9" spans="1:12" x14ac:dyDescent="0.35">
      <c r="A9" t="s">
        <v>39</v>
      </c>
      <c r="C9">
        <v>8</v>
      </c>
      <c r="K9">
        <v>0</v>
      </c>
    </row>
    <row r="10" spans="1:12" x14ac:dyDescent="0.35">
      <c r="A10" t="s">
        <v>13</v>
      </c>
      <c r="C10">
        <v>9</v>
      </c>
      <c r="D10">
        <v>9</v>
      </c>
    </row>
    <row r="11" spans="1:12" x14ac:dyDescent="0.35">
      <c r="A11" t="s">
        <v>14</v>
      </c>
      <c r="C11">
        <v>10</v>
      </c>
      <c r="E11">
        <v>6</v>
      </c>
    </row>
    <row r="12" spans="1:12" x14ac:dyDescent="0.35">
      <c r="A12" t="s">
        <v>40</v>
      </c>
      <c r="C12">
        <v>11</v>
      </c>
      <c r="F12">
        <f>3.14159265358979*(2*D10)</f>
        <v>56.548667764616219</v>
      </c>
    </row>
    <row r="13" spans="1:12" x14ac:dyDescent="0.35">
      <c r="A13" t="s">
        <v>41</v>
      </c>
      <c r="C13">
        <v>12</v>
      </c>
      <c r="G13">
        <f>4*E11</f>
        <v>24</v>
      </c>
    </row>
    <row r="14" spans="1:12" x14ac:dyDescent="0.35">
      <c r="A14" t="s">
        <v>42</v>
      </c>
      <c r="C14">
        <v>13</v>
      </c>
      <c r="H14">
        <f>3.14159265358979*D10*D10</f>
        <v>254.46900494077298</v>
      </c>
    </row>
    <row r="15" spans="1:12" x14ac:dyDescent="0.35">
      <c r="A15" t="s">
        <v>43</v>
      </c>
      <c r="C15">
        <v>14</v>
      </c>
      <c r="I15">
        <f>E11*E11</f>
        <v>36</v>
      </c>
    </row>
    <row r="16" spans="1:12" x14ac:dyDescent="0.35">
      <c r="A16" t="s">
        <v>44</v>
      </c>
      <c r="C16">
        <v>15</v>
      </c>
      <c r="J16">
        <f>H14-I15</f>
        <v>218.46900494077298</v>
      </c>
    </row>
    <row r="17" spans="1:12" x14ac:dyDescent="0.35">
      <c r="A17" t="s">
        <v>45</v>
      </c>
      <c r="C17">
        <v>16</v>
      </c>
      <c r="K17">
        <f>F12-G13</f>
        <v>32.548667764616219</v>
      </c>
    </row>
    <row r="18" spans="1:12" x14ac:dyDescent="0.35">
      <c r="A18" t="s">
        <v>46</v>
      </c>
      <c r="C18">
        <v>17</v>
      </c>
      <c r="L18">
        <f>F12</f>
        <v>56.548667764616219</v>
      </c>
    </row>
    <row r="19" spans="1:12" x14ac:dyDescent="0.35">
      <c r="A19" t="s">
        <v>47</v>
      </c>
      <c r="C19">
        <v>18</v>
      </c>
      <c r="L19">
        <f>G13</f>
        <v>24</v>
      </c>
    </row>
    <row r="20" spans="1:12" x14ac:dyDescent="0.35">
      <c r="A20" t="s">
        <v>48</v>
      </c>
      <c r="C20">
        <v>19</v>
      </c>
      <c r="L20">
        <f>H14</f>
        <v>254.46900494077298</v>
      </c>
    </row>
    <row r="21" spans="1:12" x14ac:dyDescent="0.35">
      <c r="A21" t="s">
        <v>49</v>
      </c>
      <c r="C21">
        <v>20</v>
      </c>
      <c r="L21">
        <f>I15</f>
        <v>36</v>
      </c>
    </row>
    <row r="22" spans="1:12" x14ac:dyDescent="0.35">
      <c r="A22" t="s">
        <v>50</v>
      </c>
      <c r="C22">
        <v>21</v>
      </c>
      <c r="L22">
        <f>J16</f>
        <v>218.46900494077298</v>
      </c>
    </row>
    <row r="23" spans="1:12" x14ac:dyDescent="0.35">
      <c r="A23" t="s">
        <v>51</v>
      </c>
      <c r="C23">
        <v>22</v>
      </c>
      <c r="L23">
        <f>K17</f>
        <v>32.548667764616219</v>
      </c>
    </row>
    <row r="24" spans="1:12" x14ac:dyDescent="0.35">
      <c r="A24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7CC01-B197-4DCD-B1D7-D071B3BEC833}">
  <dimension ref="A1"/>
  <sheetViews>
    <sheetView workbookViewId="0"/>
  </sheetViews>
  <sheetFormatPr defaultRowHeight="14.5" x14ac:dyDescent="0.35"/>
  <cols>
    <col min="1" max="2" width="8.7265625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43D20-5736-4332-BF3C-53C196DE1094}">
  <dimension ref="A1:A54"/>
  <sheetViews>
    <sheetView workbookViewId="0">
      <selection activeCell="C15" sqref="C15"/>
    </sheetView>
  </sheetViews>
  <sheetFormatPr defaultRowHeight="14.5" x14ac:dyDescent="0.35"/>
  <cols>
    <col min="1" max="1" width="26" customWidth="1"/>
    <col min="2" max="2" width="19.90625" customWidth="1"/>
    <col min="3" max="3" width="20.453125" customWidth="1"/>
  </cols>
  <sheetData>
    <row r="1" spans="1:1" x14ac:dyDescent="0.35">
      <c r="A1" t="s">
        <v>101</v>
      </c>
    </row>
    <row r="3" spans="1:1" x14ac:dyDescent="0.35">
      <c r="A3" t="s">
        <v>61</v>
      </c>
    </row>
    <row r="4" spans="1:1" x14ac:dyDescent="0.35">
      <c r="A4" t="s">
        <v>62</v>
      </c>
    </row>
    <row r="5" spans="1:1" x14ac:dyDescent="0.35">
      <c r="A5" t="s">
        <v>63</v>
      </c>
    </row>
    <row r="7" spans="1:1" x14ac:dyDescent="0.35">
      <c r="A7" t="s">
        <v>64</v>
      </c>
    </row>
    <row r="8" spans="1:1" x14ac:dyDescent="0.35">
      <c r="A8" t="s">
        <v>65</v>
      </c>
    </row>
    <row r="9" spans="1:1" x14ac:dyDescent="0.35">
      <c r="A9" t="s">
        <v>66</v>
      </c>
    </row>
    <row r="10" spans="1:1" x14ac:dyDescent="0.35">
      <c r="A10" t="s">
        <v>67</v>
      </c>
    </row>
    <row r="11" spans="1:1" x14ac:dyDescent="0.35">
      <c r="A11" t="s">
        <v>68</v>
      </c>
    </row>
    <row r="12" spans="1:1" x14ac:dyDescent="0.35">
      <c r="A12" t="s">
        <v>69</v>
      </c>
    </row>
    <row r="14" spans="1:1" x14ac:dyDescent="0.35">
      <c r="A14" t="s">
        <v>70</v>
      </c>
    </row>
    <row r="15" spans="1:1" x14ac:dyDescent="0.35">
      <c r="A15" t="s">
        <v>71</v>
      </c>
    </row>
    <row r="16" spans="1:1" x14ac:dyDescent="0.35">
      <c r="A16" t="s">
        <v>72</v>
      </c>
    </row>
    <row r="17" spans="1:1" x14ac:dyDescent="0.35">
      <c r="A17" t="s">
        <v>73</v>
      </c>
    </row>
    <row r="19" spans="1:1" x14ac:dyDescent="0.35">
      <c r="A19" t="s">
        <v>74</v>
      </c>
    </row>
    <row r="20" spans="1:1" x14ac:dyDescent="0.35">
      <c r="A20" t="s">
        <v>75</v>
      </c>
    </row>
    <row r="21" spans="1:1" x14ac:dyDescent="0.35">
      <c r="A21" t="s">
        <v>76</v>
      </c>
    </row>
    <row r="22" spans="1:1" x14ac:dyDescent="0.35">
      <c r="A22" t="s">
        <v>77</v>
      </c>
    </row>
    <row r="24" spans="1:1" x14ac:dyDescent="0.35">
      <c r="A24" t="s">
        <v>78</v>
      </c>
    </row>
    <row r="25" spans="1:1" x14ac:dyDescent="0.35">
      <c r="A25" t="s">
        <v>79</v>
      </c>
    </row>
    <row r="26" spans="1:1" x14ac:dyDescent="0.35">
      <c r="A26" t="s">
        <v>80</v>
      </c>
    </row>
    <row r="27" spans="1:1" x14ac:dyDescent="0.35">
      <c r="A27" t="s">
        <v>81</v>
      </c>
    </row>
    <row r="29" spans="1:1" x14ac:dyDescent="0.35">
      <c r="A29" t="s">
        <v>82</v>
      </c>
    </row>
    <row r="30" spans="1:1" x14ac:dyDescent="0.35">
      <c r="A30" t="s">
        <v>83</v>
      </c>
    </row>
    <row r="31" spans="1:1" x14ac:dyDescent="0.35">
      <c r="A31" t="s">
        <v>84</v>
      </c>
    </row>
    <row r="32" spans="1:1" x14ac:dyDescent="0.35">
      <c r="A32" t="s">
        <v>85</v>
      </c>
    </row>
    <row r="34" spans="1:1" x14ac:dyDescent="0.35">
      <c r="A34" t="s">
        <v>86</v>
      </c>
    </row>
    <row r="35" spans="1:1" x14ac:dyDescent="0.35">
      <c r="A35" t="s">
        <v>87</v>
      </c>
    </row>
    <row r="36" spans="1:1" x14ac:dyDescent="0.35">
      <c r="A36" t="s">
        <v>88</v>
      </c>
    </row>
    <row r="37" spans="1:1" x14ac:dyDescent="0.35">
      <c r="A37" t="s">
        <v>89</v>
      </c>
    </row>
    <row r="38" spans="1:1" x14ac:dyDescent="0.35">
      <c r="A38" t="s">
        <v>90</v>
      </c>
    </row>
    <row r="39" spans="1:1" x14ac:dyDescent="0.35">
      <c r="A39" t="s">
        <v>91</v>
      </c>
    </row>
    <row r="40" spans="1:1" x14ac:dyDescent="0.35">
      <c r="A40" t="s">
        <v>92</v>
      </c>
    </row>
    <row r="42" spans="1:1" x14ac:dyDescent="0.35">
      <c r="A42" t="s">
        <v>93</v>
      </c>
    </row>
    <row r="43" spans="1:1" x14ac:dyDescent="0.35">
      <c r="A43" t="s">
        <v>94</v>
      </c>
    </row>
    <row r="44" spans="1:1" x14ac:dyDescent="0.35">
      <c r="A44" t="s">
        <v>95</v>
      </c>
    </row>
    <row r="45" spans="1:1" x14ac:dyDescent="0.35">
      <c r="A45" t="s">
        <v>88</v>
      </c>
    </row>
    <row r="46" spans="1:1" x14ac:dyDescent="0.35">
      <c r="A46" t="s">
        <v>89</v>
      </c>
    </row>
    <row r="47" spans="1:1" x14ac:dyDescent="0.35">
      <c r="A47" t="s">
        <v>90</v>
      </c>
    </row>
    <row r="48" spans="1:1" x14ac:dyDescent="0.35">
      <c r="A48" t="s">
        <v>96</v>
      </c>
    </row>
    <row r="50" spans="1:1" x14ac:dyDescent="0.35">
      <c r="A50" t="s">
        <v>97</v>
      </c>
    </row>
    <row r="51" spans="1:1" x14ac:dyDescent="0.35">
      <c r="A51" t="s">
        <v>98</v>
      </c>
    </row>
    <row r="52" spans="1:1" x14ac:dyDescent="0.35">
      <c r="A52" t="s">
        <v>99</v>
      </c>
    </row>
    <row r="54" spans="1:1" x14ac:dyDescent="0.35">
      <c r="A54" t="s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99184-6F23-4CDC-A791-7EEA6CE1891A}">
  <dimension ref="A1:A51"/>
  <sheetViews>
    <sheetView topLeftCell="A19" workbookViewId="0">
      <selection activeCell="B19" sqref="A19:XFD19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33</v>
      </c>
    </row>
    <row r="3" spans="1:1" x14ac:dyDescent="0.35">
      <c r="A3" t="s">
        <v>102</v>
      </c>
    </row>
    <row r="4" spans="1:1" x14ac:dyDescent="0.35">
      <c r="A4" t="s">
        <v>103</v>
      </c>
    </row>
    <row r="5" spans="1:1" x14ac:dyDescent="0.35">
      <c r="A5" t="s">
        <v>104</v>
      </c>
    </row>
    <row r="6" spans="1:1" x14ac:dyDescent="0.35">
      <c r="A6" t="s">
        <v>105</v>
      </c>
    </row>
    <row r="7" spans="1:1" x14ac:dyDescent="0.35">
      <c r="A7" t="s">
        <v>33</v>
      </c>
    </row>
    <row r="8" spans="1:1" x14ac:dyDescent="0.35">
      <c r="A8" t="s">
        <v>106</v>
      </c>
    </row>
    <row r="9" spans="1:1" x14ac:dyDescent="0.35">
      <c r="A9" t="s">
        <v>107</v>
      </c>
    </row>
    <row r="10" spans="1:1" x14ac:dyDescent="0.35">
      <c r="A10" t="s">
        <v>108</v>
      </c>
    </row>
    <row r="11" spans="1:1" x14ac:dyDescent="0.35">
      <c r="A11" t="s">
        <v>109</v>
      </c>
    </row>
    <row r="12" spans="1:1" x14ac:dyDescent="0.35">
      <c r="A12" t="s">
        <v>110</v>
      </c>
    </row>
    <row r="13" spans="1:1" x14ac:dyDescent="0.35">
      <c r="A13" t="s">
        <v>33</v>
      </c>
    </row>
    <row r="14" spans="1:1" x14ac:dyDescent="0.35">
      <c r="A14" t="s">
        <v>111</v>
      </c>
    </row>
    <row r="15" spans="1:1" x14ac:dyDescent="0.35">
      <c r="A15" t="s">
        <v>112</v>
      </c>
    </row>
    <row r="16" spans="1:1" x14ac:dyDescent="0.35">
      <c r="A16" t="s">
        <v>113</v>
      </c>
    </row>
    <row r="17" spans="1:1" x14ac:dyDescent="0.35">
      <c r="A17" t="s">
        <v>114</v>
      </c>
    </row>
    <row r="18" spans="1:1" x14ac:dyDescent="0.35">
      <c r="A18" t="s">
        <v>115</v>
      </c>
    </row>
    <row r="19" spans="1:1" x14ac:dyDescent="0.35">
      <c r="A19" t="s">
        <v>33</v>
      </c>
    </row>
    <row r="20" spans="1:1" x14ac:dyDescent="0.35">
      <c r="A20" t="s">
        <v>33</v>
      </c>
    </row>
    <row r="21" spans="1:1" x14ac:dyDescent="0.35">
      <c r="A21" t="s">
        <v>116</v>
      </c>
    </row>
    <row r="22" spans="1:1" x14ac:dyDescent="0.35">
      <c r="A22" t="s">
        <v>117</v>
      </c>
    </row>
    <row r="23" spans="1:1" x14ac:dyDescent="0.35">
      <c r="A23" t="s">
        <v>33</v>
      </c>
    </row>
    <row r="24" spans="1:1" x14ac:dyDescent="0.35">
      <c r="A24" t="s">
        <v>118</v>
      </c>
    </row>
    <row r="25" spans="1:1" x14ac:dyDescent="0.35">
      <c r="A25" t="s">
        <v>33</v>
      </c>
    </row>
    <row r="26" spans="1:1" x14ac:dyDescent="0.35">
      <c r="A26" t="s">
        <v>119</v>
      </c>
    </row>
    <row r="27" spans="1:1" x14ac:dyDescent="0.35">
      <c r="A27" t="s">
        <v>120</v>
      </c>
    </row>
    <row r="28" spans="1:1" x14ac:dyDescent="0.35">
      <c r="A28" t="s">
        <v>33</v>
      </c>
    </row>
    <row r="29" spans="1:1" x14ac:dyDescent="0.35">
      <c r="A29" t="s">
        <v>121</v>
      </c>
    </row>
    <row r="30" spans="1:1" x14ac:dyDescent="0.35">
      <c r="A30" t="s">
        <v>33</v>
      </c>
    </row>
    <row r="31" spans="1:1" x14ac:dyDescent="0.35">
      <c r="A31" t="s">
        <v>122</v>
      </c>
    </row>
    <row r="32" spans="1:1" x14ac:dyDescent="0.35">
      <c r="A32" t="s">
        <v>123</v>
      </c>
    </row>
    <row r="33" spans="1:1" x14ac:dyDescent="0.35">
      <c r="A33" t="s">
        <v>124</v>
      </c>
    </row>
    <row r="34" spans="1:1" x14ac:dyDescent="0.35">
      <c r="A34" t="s">
        <v>125</v>
      </c>
    </row>
    <row r="35" spans="1:1" x14ac:dyDescent="0.35">
      <c r="A35" t="s">
        <v>126</v>
      </c>
    </row>
    <row r="36" spans="1:1" x14ac:dyDescent="0.35">
      <c r="A36" t="s">
        <v>33</v>
      </c>
    </row>
    <row r="37" spans="1:1" x14ac:dyDescent="0.35">
      <c r="A37" t="s">
        <v>127</v>
      </c>
    </row>
    <row r="38" spans="1:1" x14ac:dyDescent="0.35">
      <c r="A38" t="s">
        <v>128</v>
      </c>
    </row>
    <row r="39" spans="1:1" x14ac:dyDescent="0.35">
      <c r="A39" t="s">
        <v>129</v>
      </c>
    </row>
    <row r="40" spans="1:1" x14ac:dyDescent="0.35">
      <c r="A40" t="s">
        <v>130</v>
      </c>
    </row>
    <row r="41" spans="1:1" x14ac:dyDescent="0.35">
      <c r="A41" t="s">
        <v>131</v>
      </c>
    </row>
    <row r="42" spans="1:1" x14ac:dyDescent="0.35">
      <c r="A42" t="s">
        <v>33</v>
      </c>
    </row>
    <row r="43" spans="1:1" x14ac:dyDescent="0.35">
      <c r="A43" t="s">
        <v>33</v>
      </c>
    </row>
    <row r="44" spans="1:1" x14ac:dyDescent="0.35">
      <c r="A44" t="s">
        <v>132</v>
      </c>
    </row>
    <row r="45" spans="1:1" x14ac:dyDescent="0.35">
      <c r="A45" t="s">
        <v>33</v>
      </c>
    </row>
    <row r="46" spans="1:1" x14ac:dyDescent="0.35">
      <c r="A46" t="s">
        <v>133</v>
      </c>
    </row>
    <row r="47" spans="1:1" x14ac:dyDescent="0.35">
      <c r="A47" t="s">
        <v>33</v>
      </c>
    </row>
    <row r="48" spans="1:1" x14ac:dyDescent="0.35">
      <c r="A48" t="s">
        <v>134</v>
      </c>
    </row>
    <row r="49" spans="1:1" x14ac:dyDescent="0.35">
      <c r="A49" t="s">
        <v>135</v>
      </c>
    </row>
    <row r="50" spans="1:1" x14ac:dyDescent="0.35">
      <c r="A50" t="s">
        <v>136</v>
      </c>
    </row>
    <row r="51" spans="1:1" x14ac:dyDescent="0.35">
      <c r="A51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5E39-4CF5-4014-9AFF-F545E832F0D8}">
  <dimension ref="A1"/>
  <sheetViews>
    <sheetView topLeftCell="A48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Sheet7</vt:lpstr>
      <vt:lpstr>Sheet5</vt:lpstr>
      <vt:lpstr>Sheet6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Gupta</dc:creator>
  <cp:lastModifiedBy>Sneha Gupta</cp:lastModifiedBy>
  <dcterms:created xsi:type="dcterms:W3CDTF">2025-12-27T14:48:30Z</dcterms:created>
  <dcterms:modified xsi:type="dcterms:W3CDTF">2025-12-29T14:49:47Z</dcterms:modified>
</cp:coreProperties>
</file>